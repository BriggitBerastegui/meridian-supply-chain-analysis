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f8c37fc28da864d/Documentos/CLAUDE - SUPPLY CHAIN ANALYST I/"/>
    </mc:Choice>
  </mc:AlternateContent>
  <xr:revisionPtr revIDLastSave="227" documentId="8_{D1D79CFE-AD44-4485-8901-0F850F13E129}" xr6:coauthVersionLast="47" xr6:coauthVersionMax="47" xr10:uidLastSave="{EE67A1C7-DEC8-4772-B40B-AFCE7AB9912F}"/>
  <bookViews>
    <workbookView xWindow="-110" yWindow="-110" windowWidth="19420" windowHeight="10300" activeTab="1" xr2:uid="{27374E35-8141-4024-B71A-0F54BB7C1B3D}"/>
  </bookViews>
  <sheets>
    <sheet name="Raw Data" sheetId="1" r:id="rId1"/>
    <sheet name="Chart" sheetId="3" r:id="rId2"/>
    <sheet name="Scorecard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6" i="2" l="1"/>
  <c r="E14" i="1"/>
  <c r="E9" i="2"/>
  <c r="E10" i="2"/>
  <c r="E11" i="2"/>
  <c r="E12" i="2"/>
  <c r="E13" i="2"/>
  <c r="E14" i="2"/>
  <c r="E15" i="2"/>
  <c r="E16" i="2"/>
  <c r="E17" i="2"/>
  <c r="E8" i="2"/>
  <c r="D9" i="2"/>
  <c r="D10" i="2"/>
  <c r="D11" i="2"/>
  <c r="D12" i="2"/>
  <c r="D13" i="2"/>
  <c r="D14" i="2"/>
  <c r="D15" i="2"/>
  <c r="D16" i="2"/>
  <c r="D17" i="2"/>
  <c r="D8" i="2"/>
  <c r="C9" i="2"/>
  <c r="C10" i="2"/>
  <c r="C11" i="2"/>
  <c r="C12" i="2"/>
  <c r="C13" i="2"/>
  <c r="C14" i="2"/>
  <c r="C15" i="2"/>
  <c r="C16" i="2"/>
  <c r="F16" i="2" s="1"/>
  <c r="C17" i="2"/>
  <c r="C8" i="2"/>
  <c r="B8" i="2"/>
  <c r="B9" i="2"/>
  <c r="B10" i="2"/>
  <c r="B11" i="2"/>
  <c r="B12" i="2"/>
  <c r="B13" i="2"/>
  <c r="B14" i="2"/>
  <c r="B15" i="2"/>
  <c r="B16" i="2"/>
  <c r="B17" i="2"/>
  <c r="A17" i="2"/>
  <c r="A16" i="2"/>
  <c r="A15" i="2"/>
  <c r="A14" i="2"/>
  <c r="A13" i="2"/>
  <c r="A12" i="2"/>
  <c r="A11" i="2"/>
  <c r="A10" i="2"/>
  <c r="A9" i="2"/>
  <c r="A8" i="2"/>
  <c r="B3" i="2" s="1"/>
  <c r="F11" i="2" l="1"/>
  <c r="F8" i="2"/>
  <c r="F17" i="2"/>
  <c r="F9" i="2"/>
  <c r="F10" i="2"/>
  <c r="H10" i="2" s="1"/>
  <c r="F15" i="2"/>
  <c r="G15" i="2" s="1"/>
  <c r="F14" i="2"/>
  <c r="G14" i="2" s="1"/>
  <c r="F13" i="2"/>
  <c r="G13" i="2" s="1"/>
  <c r="F12" i="2"/>
  <c r="G12" i="2" s="1"/>
  <c r="H11" i="2"/>
  <c r="G11" i="2"/>
  <c r="H8" i="2"/>
  <c r="G8" i="2"/>
  <c r="H17" i="2"/>
  <c r="G17" i="2"/>
  <c r="H9" i="2"/>
  <c r="G9" i="2"/>
  <c r="G16" i="2"/>
  <c r="H16" i="2"/>
  <c r="H14" i="2"/>
  <c r="H12" i="2"/>
  <c r="H15" i="2" l="1"/>
  <c r="H13" i="2"/>
  <c r="G10" i="2"/>
  <c r="B5" i="2" s="1"/>
  <c r="B4" i="2" l="1"/>
</calcChain>
</file>

<file path=xl/sharedStrings.xml><?xml version="1.0" encoding="utf-8"?>
<sst xmlns="http://schemas.openxmlformats.org/spreadsheetml/2006/main" count="40" uniqueCount="39">
  <si>
    <t>Supplier Name</t>
  </si>
  <si>
    <t>Supplier Code</t>
  </si>
  <si>
    <t>Pos Delivered</t>
  </si>
  <si>
    <t>Pos On Time</t>
  </si>
  <si>
    <t>Parts Received</t>
  </si>
  <si>
    <t xml:space="preserve"> Defective Parts</t>
  </si>
  <si>
    <t>Invoices Matched</t>
  </si>
  <si>
    <t>Trident Sealing</t>
  </si>
  <si>
    <t>Lianfeng Components</t>
  </si>
  <si>
    <t>Pacific Metal Works</t>
  </si>
  <si>
    <t>Apex Fasteners</t>
  </si>
  <si>
    <t>Cascade Polymers</t>
  </si>
  <si>
    <t>Hangzhou Precision</t>
  </si>
  <si>
    <t>Delta Rubber Co.</t>
  </si>
  <si>
    <t>NorCal Stamping</t>
  </si>
  <si>
    <t>Kelso Industrial</t>
  </si>
  <si>
    <t>Brightline Logistics</t>
  </si>
  <si>
    <t>SUP-001</t>
  </si>
  <si>
    <t>SUP-002</t>
  </si>
  <si>
    <t>SUP-003</t>
  </si>
  <si>
    <t>SUP-004</t>
  </si>
  <si>
    <t>SUP-005</t>
  </si>
  <si>
    <t>SUP-006</t>
  </si>
  <si>
    <t>SUP-007</t>
  </si>
  <si>
    <t>SUP-008</t>
  </si>
  <si>
    <t>SUP-009</t>
  </si>
  <si>
    <t>SUP-010</t>
  </si>
  <si>
    <t xml:space="preserve">Supplier name </t>
  </si>
  <si>
    <t>Delivery Score</t>
  </si>
  <si>
    <t>Quality Score</t>
  </si>
  <si>
    <t>Invoice Score</t>
  </si>
  <si>
    <t>Total Score (%)</t>
  </si>
  <si>
    <t>Rating</t>
  </si>
  <si>
    <t>Action</t>
  </si>
  <si>
    <t>Meridian Industrial Systems - Supplier Scorecard Q2 2026</t>
  </si>
  <si>
    <t xml:space="preserve">Total Suppliers </t>
  </si>
  <si>
    <t>Good Standing</t>
  </si>
  <si>
    <t xml:space="preserve">Need Improvement </t>
  </si>
  <si>
    <t>Average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</si>
</sst>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24997711111789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9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2" borderId="1" xfId="0" applyFont="1" applyFill="1" applyBorder="1"/>
    <xf numFmtId="0" fontId="0" fillId="0" borderId="1" xfId="0" applyBorder="1"/>
    <xf numFmtId="3" fontId="0" fillId="0" borderId="1" xfId="0" applyNumberFormat="1" applyBorder="1"/>
    <xf numFmtId="0" fontId="0" fillId="0" borderId="2" xfId="0" applyBorder="1"/>
    <xf numFmtId="0" fontId="0" fillId="0" borderId="0" xfId="0" applyBorder="1"/>
    <xf numFmtId="1" fontId="0" fillId="0" borderId="0" xfId="0" applyNumberFormat="1" applyBorder="1"/>
    <xf numFmtId="164" fontId="0" fillId="0" borderId="0" xfId="0" applyNumberFormat="1" applyBorder="1" applyAlignment="1">
      <alignment horizontal="right"/>
    </xf>
    <xf numFmtId="164" fontId="0" fillId="0" borderId="0" xfId="0" applyNumberFormat="1" applyBorder="1"/>
    <xf numFmtId="2" fontId="0" fillId="0" borderId="0" xfId="0" applyNumberFormat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1" fontId="0" fillId="0" borderId="5" xfId="0" applyNumberFormat="1" applyBorder="1"/>
    <xf numFmtId="164" fontId="0" fillId="0" borderId="5" xfId="0" applyNumberFormat="1" applyBorder="1" applyAlignment="1">
      <alignment horizontal="right"/>
    </xf>
    <xf numFmtId="164" fontId="0" fillId="0" borderId="5" xfId="0" applyNumberFormat="1" applyBorder="1"/>
    <xf numFmtId="2" fontId="0" fillId="0" borderId="5" xfId="0" applyNumberFormat="1" applyBorder="1"/>
    <xf numFmtId="0" fontId="0" fillId="0" borderId="6" xfId="0" applyBorder="1"/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2" fontId="3" fillId="0" borderId="1" xfId="0" applyNumberFormat="1" applyFont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</cellXfs>
  <cellStyles count="1">
    <cellStyle name="Normal" xfId="0" builtinId="0"/>
  </cellStyles>
  <dxfs count="6">
    <dxf>
      <fill>
        <patternFill>
          <bgColor theme="9" tint="0.39994506668294322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FF66"/>
        </patternFill>
      </fill>
    </dxf>
    <dxf>
      <fill>
        <patternFill>
          <bgColor rgb="FFE61414"/>
        </patternFill>
      </fill>
    </dxf>
  </dxfs>
  <tableStyles count="0" defaultTableStyle="TableStyleMedium2" defaultPivotStyle="PivotStyleLight16"/>
  <colors>
    <mruColors>
      <color rgb="FFFFFF66"/>
      <color rgb="FFE61414"/>
      <color rgb="FFFFFF99"/>
      <color rgb="FFC3A1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2.xml"/><Relationship Id="rId7" Type="http://schemas.microsoft.com/office/2017/10/relationships/person" Target="persons/person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PA"/>
              <a:t>Supplier Performance - Q2 2026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A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Scorecard!$F$7</c:f>
              <c:strCache>
                <c:ptCount val="1"/>
                <c:pt idx="0">
                  <c:v>Total Score (%)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FF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B14F-4FDB-8B97-7273CD73394C}"/>
              </c:ext>
            </c:extLst>
          </c:dPt>
          <c:dPt>
            <c:idx val="5"/>
            <c:invertIfNegative val="0"/>
            <c:bubble3D val="0"/>
            <c:spPr>
              <a:solidFill>
                <a:srgbClr val="FFFF6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B14F-4FDB-8B97-7273CD73394C}"/>
              </c:ext>
            </c:extLst>
          </c:dPt>
          <c:dPt>
            <c:idx val="8"/>
            <c:invertIfNegative val="0"/>
            <c:bubble3D val="0"/>
            <c:spPr>
              <a:solidFill>
                <a:srgbClr val="FFFF6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B14F-4FDB-8B97-7273CD73394C}"/>
              </c:ext>
            </c:extLst>
          </c:dPt>
          <c:cat>
            <c:strRef>
              <c:f>Scorecard!$A$8:$A$17</c:f>
              <c:strCache>
                <c:ptCount val="10"/>
                <c:pt idx="0">
                  <c:v>Trident Sealing</c:v>
                </c:pt>
                <c:pt idx="1">
                  <c:v>Lianfeng Components</c:v>
                </c:pt>
                <c:pt idx="2">
                  <c:v>Pacific Metal Works</c:v>
                </c:pt>
                <c:pt idx="3">
                  <c:v>Apex Fasteners</c:v>
                </c:pt>
                <c:pt idx="4">
                  <c:v>Cascade Polymers</c:v>
                </c:pt>
                <c:pt idx="5">
                  <c:v>Hangzhou Precision</c:v>
                </c:pt>
                <c:pt idx="6">
                  <c:v>Delta Rubber Co.</c:v>
                </c:pt>
                <c:pt idx="7">
                  <c:v>NorCal Stamping</c:v>
                </c:pt>
                <c:pt idx="8">
                  <c:v>Kelso Industrial</c:v>
                </c:pt>
                <c:pt idx="9">
                  <c:v>Brightline Logistics</c:v>
                </c:pt>
              </c:strCache>
            </c:strRef>
          </c:cat>
          <c:val>
            <c:numRef>
              <c:f>Scorecard!$F$8:$F$17</c:f>
              <c:numCache>
                <c:formatCode>0.00</c:formatCode>
                <c:ptCount val="10"/>
                <c:pt idx="0">
                  <c:v>95.84</c:v>
                </c:pt>
                <c:pt idx="1">
                  <c:v>87.44</c:v>
                </c:pt>
                <c:pt idx="2">
                  <c:v>98.101818181818174</c:v>
                </c:pt>
                <c:pt idx="3">
                  <c:v>94.24444444444444</c:v>
                </c:pt>
                <c:pt idx="4">
                  <c:v>99.923076923076934</c:v>
                </c:pt>
                <c:pt idx="5">
                  <c:v>88.200000000000017</c:v>
                </c:pt>
                <c:pt idx="6">
                  <c:v>95.757894736842104</c:v>
                </c:pt>
                <c:pt idx="7">
                  <c:v>96.130701754385967</c:v>
                </c:pt>
                <c:pt idx="8">
                  <c:v>86.7</c:v>
                </c:pt>
                <c:pt idx="9">
                  <c:v>92.666666666666671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4F-4FDB-8B97-7273CD7339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23303231"/>
        <c:axId val="1467855999"/>
      </c:barChart>
      <c:catAx>
        <c:axId val="102330323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A"/>
          </a:p>
        </c:txPr>
        <c:crossAx val="1467855999"/>
        <c:crosses val="autoZero"/>
        <c:auto val="1"/>
        <c:lblAlgn val="ctr"/>
        <c:lblOffset val="100"/>
        <c:noMultiLvlLbl val="0"/>
      </c:catAx>
      <c:valAx>
        <c:axId val="14678559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A"/>
          </a:p>
        </c:txPr>
        <c:crossAx val="10233032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A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398FCC5-2E14-49F0-834D-3D4E4D1E2704}">
  <sheetPr/>
  <sheetViews>
    <sheetView tabSelected="1" zoomScale="62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9677" cy="6073468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9480DDD-39DD-F888-A6DA-5CB4CE56B073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5C532-913B-4F24-ABDE-6987F3995BE9}">
  <dimension ref="A1:G14"/>
  <sheetViews>
    <sheetView zoomScale="57" zoomScaleNormal="57" workbookViewId="0">
      <pane ySplit="1" topLeftCell="A2" activePane="bottomLeft" state="frozen"/>
      <selection pane="bottomLeft" activeCell="C2" sqref="C2"/>
    </sheetView>
  </sheetViews>
  <sheetFormatPr defaultRowHeight="14.5" x14ac:dyDescent="0.35"/>
  <cols>
    <col min="1" max="1" width="19.90625" bestFit="1" customWidth="1"/>
    <col min="2" max="2" width="13.36328125" bestFit="1" customWidth="1"/>
    <col min="3" max="3" width="13" bestFit="1" customWidth="1"/>
    <col min="4" max="4" width="11.54296875" bestFit="1" customWidth="1"/>
    <col min="5" max="5" width="13.6328125" bestFit="1" customWidth="1"/>
    <col min="6" max="6" width="14.26953125" bestFit="1" customWidth="1"/>
    <col min="7" max="7" width="16.36328125" bestFit="1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s="2" t="s">
        <v>7</v>
      </c>
      <c r="B2" s="2" t="s">
        <v>17</v>
      </c>
      <c r="C2" s="2">
        <v>20</v>
      </c>
      <c r="D2" s="2">
        <v>18</v>
      </c>
      <c r="E2" s="3">
        <v>12000</v>
      </c>
      <c r="F2" s="2">
        <v>48</v>
      </c>
      <c r="G2" s="2">
        <v>20</v>
      </c>
    </row>
    <row r="3" spans="1:7" x14ac:dyDescent="0.35">
      <c r="A3" s="2" t="s">
        <v>8</v>
      </c>
      <c r="B3" s="2" t="s">
        <v>18</v>
      </c>
      <c r="C3" s="2">
        <v>15</v>
      </c>
      <c r="D3" s="2">
        <v>11</v>
      </c>
      <c r="E3" s="3">
        <v>30000</v>
      </c>
      <c r="F3" s="2">
        <v>420</v>
      </c>
      <c r="G3" s="2">
        <v>14</v>
      </c>
    </row>
    <row r="4" spans="1:7" x14ac:dyDescent="0.35">
      <c r="A4" s="2" t="s">
        <v>9</v>
      </c>
      <c r="B4" s="2" t="s">
        <v>19</v>
      </c>
      <c r="C4" s="2">
        <v>22</v>
      </c>
      <c r="D4" s="2">
        <v>21</v>
      </c>
      <c r="E4" s="3">
        <v>8500</v>
      </c>
      <c r="F4" s="2">
        <v>17</v>
      </c>
      <c r="G4" s="2">
        <v>22</v>
      </c>
    </row>
    <row r="5" spans="1:7" x14ac:dyDescent="0.35">
      <c r="A5" s="2" t="s">
        <v>10</v>
      </c>
      <c r="B5" s="2" t="s">
        <v>20</v>
      </c>
      <c r="C5" s="2">
        <v>18</v>
      </c>
      <c r="D5" s="2">
        <v>16</v>
      </c>
      <c r="E5" s="3">
        <v>22000</v>
      </c>
      <c r="F5" s="2">
        <v>110</v>
      </c>
      <c r="G5" s="2">
        <v>17</v>
      </c>
    </row>
    <row r="6" spans="1:7" x14ac:dyDescent="0.35">
      <c r="A6" s="2" t="s">
        <v>11</v>
      </c>
      <c r="B6" s="2" t="s">
        <v>21</v>
      </c>
      <c r="C6" s="2">
        <v>12</v>
      </c>
      <c r="D6" s="2">
        <v>12</v>
      </c>
      <c r="E6" s="3">
        <v>5200</v>
      </c>
      <c r="F6" s="2">
        <v>10</v>
      </c>
      <c r="G6" s="2">
        <v>12</v>
      </c>
    </row>
    <row r="7" spans="1:7" x14ac:dyDescent="0.35">
      <c r="A7" s="2" t="s">
        <v>12</v>
      </c>
      <c r="B7" s="2" t="s">
        <v>22</v>
      </c>
      <c r="C7" s="2">
        <v>25</v>
      </c>
      <c r="D7" s="2">
        <v>19</v>
      </c>
      <c r="E7" s="3">
        <v>41000</v>
      </c>
      <c r="F7" s="2">
        <v>615</v>
      </c>
      <c r="G7" s="2">
        <v>23</v>
      </c>
    </row>
    <row r="8" spans="1:7" x14ac:dyDescent="0.35">
      <c r="A8" s="2" t="s">
        <v>13</v>
      </c>
      <c r="B8" s="2" t="s">
        <v>23</v>
      </c>
      <c r="C8" s="2">
        <v>10</v>
      </c>
      <c r="D8" s="2">
        <v>9</v>
      </c>
      <c r="E8" s="3">
        <v>3800</v>
      </c>
      <c r="F8" s="2">
        <v>23</v>
      </c>
      <c r="G8" s="2">
        <v>10</v>
      </c>
    </row>
    <row r="9" spans="1:7" x14ac:dyDescent="0.35">
      <c r="A9" s="2" t="s">
        <v>14</v>
      </c>
      <c r="B9" s="2" t="s">
        <v>24</v>
      </c>
      <c r="C9" s="2">
        <v>16</v>
      </c>
      <c r="D9" s="2">
        <v>15</v>
      </c>
      <c r="E9" s="3">
        <v>11400</v>
      </c>
      <c r="F9" s="2">
        <v>34</v>
      </c>
      <c r="G9" s="2">
        <v>15</v>
      </c>
    </row>
    <row r="10" spans="1:7" x14ac:dyDescent="0.35">
      <c r="A10" s="2" t="s">
        <v>15</v>
      </c>
      <c r="B10" s="2" t="s">
        <v>25</v>
      </c>
      <c r="C10" s="2">
        <v>8</v>
      </c>
      <c r="D10" s="2">
        <v>6</v>
      </c>
      <c r="E10" s="3">
        <v>6700</v>
      </c>
      <c r="F10" s="2">
        <v>134</v>
      </c>
      <c r="G10" s="2">
        <v>7</v>
      </c>
    </row>
    <row r="11" spans="1:7" x14ac:dyDescent="0.35">
      <c r="A11" s="2" t="s">
        <v>16</v>
      </c>
      <c r="B11" s="2" t="s">
        <v>26</v>
      </c>
      <c r="C11" s="2">
        <v>30</v>
      </c>
      <c r="D11" s="2">
        <v>27</v>
      </c>
      <c r="E11" s="3">
        <v>0</v>
      </c>
      <c r="F11" s="2">
        <v>0</v>
      </c>
      <c r="G11" s="2">
        <v>29</v>
      </c>
    </row>
    <row r="14" spans="1:7" x14ac:dyDescent="0.35">
      <c r="E14">
        <f>G2/C2</f>
        <v>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EF021-5BF3-499A-BDAE-1AB880D8875E}">
  <dimension ref="A1:H17"/>
  <sheetViews>
    <sheetView zoomScale="59" zoomScaleNormal="59" workbookViewId="0">
      <selection activeCell="G27" sqref="G27"/>
    </sheetView>
  </sheetViews>
  <sheetFormatPr defaultRowHeight="14.5" x14ac:dyDescent="0.35"/>
  <cols>
    <col min="1" max="1" width="19.1796875" bestFit="1" customWidth="1"/>
    <col min="2" max="2" width="13" bestFit="1" customWidth="1"/>
    <col min="3" max="3" width="13.26953125" bestFit="1" customWidth="1"/>
    <col min="4" max="4" width="12.08984375" bestFit="1" customWidth="1"/>
    <col min="5" max="5" width="12.36328125" bestFit="1" customWidth="1"/>
    <col min="6" max="6" width="13.453125" bestFit="1" customWidth="1"/>
    <col min="7" max="7" width="17.36328125" bestFit="1" customWidth="1"/>
    <col min="8" max="8" width="17.6328125" bestFit="1" customWidth="1"/>
  </cols>
  <sheetData>
    <row r="1" spans="1:8" ht="18.5" x14ac:dyDescent="0.45">
      <c r="A1" s="23" t="s">
        <v>34</v>
      </c>
      <c r="B1" s="23"/>
      <c r="C1" s="23"/>
      <c r="D1" s="23"/>
      <c r="E1" s="23"/>
      <c r="F1" s="23"/>
      <c r="G1" s="23"/>
      <c r="H1" s="23"/>
    </row>
    <row r="3" spans="1:8" x14ac:dyDescent="0.35">
      <c r="A3" s="18" t="s">
        <v>35</v>
      </c>
      <c r="B3" s="19">
        <f>COUNTA(A8:A17)</f>
        <v>10</v>
      </c>
    </row>
    <row r="4" spans="1:8" x14ac:dyDescent="0.35">
      <c r="A4" s="18" t="s">
        <v>36</v>
      </c>
      <c r="B4" s="21">
        <f>COUNTIF(G8:G17,"Good Standing")</f>
        <v>7</v>
      </c>
    </row>
    <row r="5" spans="1:8" x14ac:dyDescent="0.35">
      <c r="A5" s="18" t="s">
        <v>37</v>
      </c>
      <c r="B5" s="22">
        <f>COUNTIF(G8:G17,"Needs improvement")</f>
        <v>3</v>
      </c>
    </row>
    <row r="6" spans="1:8" x14ac:dyDescent="0.35">
      <c r="A6" s="18" t="s">
        <v>38</v>
      </c>
      <c r="B6" s="20">
        <f>AVERAGE(F8:F17)</f>
        <v>93.500460270723437</v>
      </c>
    </row>
    <row r="7" spans="1:8" x14ac:dyDescent="0.35">
      <c r="A7" s="1" t="s">
        <v>27</v>
      </c>
      <c r="B7" s="1" t="s">
        <v>1</v>
      </c>
      <c r="C7" s="1" t="s">
        <v>28</v>
      </c>
      <c r="D7" s="1" t="s">
        <v>29</v>
      </c>
      <c r="E7" s="1" t="s">
        <v>30</v>
      </c>
      <c r="F7" s="1" t="s">
        <v>31</v>
      </c>
      <c r="G7" s="1" t="s">
        <v>32</v>
      </c>
      <c r="H7" s="1" t="s">
        <v>33</v>
      </c>
    </row>
    <row r="8" spans="1:8" x14ac:dyDescent="0.35">
      <c r="A8" s="4" t="str">
        <f>'Raw Data'!A2</f>
        <v>Trident Sealing</v>
      </c>
      <c r="B8" s="5" t="str">
        <f>'Raw Data'!B2</f>
        <v>SUP-001</v>
      </c>
      <c r="C8" s="6">
        <f>'Raw Data'!D2/'Raw Data'!C2*100</f>
        <v>90</v>
      </c>
      <c r="D8" s="7">
        <f>IFERROR(('Raw Data'!E2-'Raw Data'!F2)/'Raw Data'!E2*100, "N/A")</f>
        <v>99.6</v>
      </c>
      <c r="E8" s="8">
        <f>IFERROR('Raw Data'!G2/'Raw Data'!C2*100, "N/A")</f>
        <v>100</v>
      </c>
      <c r="F8" s="9">
        <f>IFERROR(C8*0.4+D8*0.4+E8*0.2,"N/A")</f>
        <v>95.84</v>
      </c>
      <c r="G8" s="5" t="str">
        <f>IF(F8&gt;=90,"Good Standing",IF(F8&gt;=75,"Needs improvement", "At Risk"))</f>
        <v>Good Standing</v>
      </c>
      <c r="H8" s="10" t="str">
        <f>IF(F8&gt;=90,"No action required",IF(F8&gt;=75,"Schedule review call ","Escalate to manager"))</f>
        <v>No action required</v>
      </c>
    </row>
    <row r="9" spans="1:8" x14ac:dyDescent="0.35">
      <c r="A9" s="4" t="str">
        <f>'Raw Data'!A3</f>
        <v>Lianfeng Components</v>
      </c>
      <c r="B9" s="5" t="str">
        <f>'Raw Data'!B3</f>
        <v>SUP-002</v>
      </c>
      <c r="C9" s="6">
        <f>'Raw Data'!D3/'Raw Data'!C3*100</f>
        <v>73.333333333333329</v>
      </c>
      <c r="D9" s="7">
        <f>IFERROR(('Raw Data'!E3-'Raw Data'!F3)/'Raw Data'!E3*100, "N/A")</f>
        <v>98.6</v>
      </c>
      <c r="E9" s="8">
        <f>IFERROR('Raw Data'!G3/'Raw Data'!C3*100, "N/A")</f>
        <v>93.333333333333329</v>
      </c>
      <c r="F9" s="9">
        <f t="shared" ref="F9:F16" si="0">IFERROR(C9*0.4+D9*0.4+E9*0.2,"N/A")</f>
        <v>87.44</v>
      </c>
      <c r="G9" s="5" t="str">
        <f t="shared" ref="G9:G17" si="1">IF(F9&gt;=90,"Good Standing",IF(F9&gt;=75,"Needs improvement", "At Risk"))</f>
        <v>Needs improvement</v>
      </c>
      <c r="H9" s="10" t="str">
        <f t="shared" ref="H9:H17" si="2">IF(F9&gt;=90,"No action required",IF(F9&gt;=75,"Schedule review call ","Escalate to manager"))</f>
        <v xml:space="preserve">Schedule review call </v>
      </c>
    </row>
    <row r="10" spans="1:8" x14ac:dyDescent="0.35">
      <c r="A10" s="4" t="str">
        <f>'Raw Data'!A4</f>
        <v>Pacific Metal Works</v>
      </c>
      <c r="B10" s="5" t="str">
        <f>'Raw Data'!B4</f>
        <v>SUP-003</v>
      </c>
      <c r="C10" s="6">
        <f>'Raw Data'!D4/'Raw Data'!C4*100</f>
        <v>95.454545454545453</v>
      </c>
      <c r="D10" s="7">
        <f>IFERROR(('Raw Data'!E4-'Raw Data'!F4)/'Raw Data'!E4*100, "N/A")</f>
        <v>99.8</v>
      </c>
      <c r="E10" s="8">
        <f>IFERROR('Raw Data'!G4/'Raw Data'!C4*100, "N/A")</f>
        <v>100</v>
      </c>
      <c r="F10" s="9">
        <f t="shared" si="0"/>
        <v>98.101818181818174</v>
      </c>
      <c r="G10" s="5" t="str">
        <f t="shared" si="1"/>
        <v>Good Standing</v>
      </c>
      <c r="H10" s="10" t="str">
        <f t="shared" si="2"/>
        <v>No action required</v>
      </c>
    </row>
    <row r="11" spans="1:8" x14ac:dyDescent="0.35">
      <c r="A11" s="4" t="str">
        <f>'Raw Data'!A5</f>
        <v>Apex Fasteners</v>
      </c>
      <c r="B11" s="5" t="str">
        <f>'Raw Data'!B5</f>
        <v>SUP-004</v>
      </c>
      <c r="C11" s="6">
        <f>'Raw Data'!D5/'Raw Data'!C5*100</f>
        <v>88.888888888888886</v>
      </c>
      <c r="D11" s="7">
        <f>IFERROR(('Raw Data'!E5-'Raw Data'!F5)/'Raw Data'!E5*100, "N/A")</f>
        <v>99.5</v>
      </c>
      <c r="E11" s="8">
        <f>IFERROR('Raw Data'!G5/'Raw Data'!C5*100, "N/A")</f>
        <v>94.444444444444443</v>
      </c>
      <c r="F11" s="9">
        <f t="shared" si="0"/>
        <v>94.24444444444444</v>
      </c>
      <c r="G11" s="5" t="str">
        <f t="shared" si="1"/>
        <v>Good Standing</v>
      </c>
      <c r="H11" s="10" t="str">
        <f t="shared" si="2"/>
        <v>No action required</v>
      </c>
    </row>
    <row r="12" spans="1:8" x14ac:dyDescent="0.35">
      <c r="A12" s="4" t="str">
        <f>'Raw Data'!A6</f>
        <v>Cascade Polymers</v>
      </c>
      <c r="B12" s="5" t="str">
        <f>'Raw Data'!B6</f>
        <v>SUP-005</v>
      </c>
      <c r="C12" s="6">
        <f>'Raw Data'!D6/'Raw Data'!C6*100</f>
        <v>100</v>
      </c>
      <c r="D12" s="7">
        <f>IFERROR(('Raw Data'!E6-'Raw Data'!F6)/'Raw Data'!E6*100, "N/A")</f>
        <v>99.807692307692307</v>
      </c>
      <c r="E12" s="8">
        <f>IFERROR('Raw Data'!G6/'Raw Data'!C6*100, "N/A")</f>
        <v>100</v>
      </c>
      <c r="F12" s="9">
        <f t="shared" si="0"/>
        <v>99.923076923076934</v>
      </c>
      <c r="G12" s="5" t="str">
        <f t="shared" si="1"/>
        <v>Good Standing</v>
      </c>
      <c r="H12" s="10" t="str">
        <f t="shared" si="2"/>
        <v>No action required</v>
      </c>
    </row>
    <row r="13" spans="1:8" x14ac:dyDescent="0.35">
      <c r="A13" s="4" t="str">
        <f>'Raw Data'!A7</f>
        <v>Hangzhou Precision</v>
      </c>
      <c r="B13" s="5" t="str">
        <f>'Raw Data'!B7</f>
        <v>SUP-006</v>
      </c>
      <c r="C13" s="6">
        <f>'Raw Data'!D7/'Raw Data'!C7*100</f>
        <v>76</v>
      </c>
      <c r="D13" s="7">
        <f>IFERROR(('Raw Data'!E7-'Raw Data'!F7)/'Raw Data'!E7*100, "N/A")</f>
        <v>98.5</v>
      </c>
      <c r="E13" s="8">
        <f>IFERROR('Raw Data'!G7/'Raw Data'!C7*100, "N/A")</f>
        <v>92</v>
      </c>
      <c r="F13" s="9">
        <f t="shared" si="0"/>
        <v>88.200000000000017</v>
      </c>
      <c r="G13" s="5" t="str">
        <f t="shared" si="1"/>
        <v>Needs improvement</v>
      </c>
      <c r="H13" s="10" t="str">
        <f t="shared" si="2"/>
        <v xml:space="preserve">Schedule review call </v>
      </c>
    </row>
    <row r="14" spans="1:8" x14ac:dyDescent="0.35">
      <c r="A14" s="4" t="str">
        <f>'Raw Data'!A8</f>
        <v>Delta Rubber Co.</v>
      </c>
      <c r="B14" s="5" t="str">
        <f>'Raw Data'!B8</f>
        <v>SUP-007</v>
      </c>
      <c r="C14" s="6">
        <f>'Raw Data'!D8/'Raw Data'!C8*100</f>
        <v>90</v>
      </c>
      <c r="D14" s="7">
        <f>IFERROR(('Raw Data'!E8-'Raw Data'!F8)/'Raw Data'!E8*100, "N/A")</f>
        <v>99.39473684210526</v>
      </c>
      <c r="E14" s="8">
        <f>IFERROR('Raw Data'!G8/'Raw Data'!C8*100, "N/A")</f>
        <v>100</v>
      </c>
      <c r="F14" s="9">
        <f t="shared" si="0"/>
        <v>95.757894736842104</v>
      </c>
      <c r="G14" s="5" t="str">
        <f t="shared" si="1"/>
        <v>Good Standing</v>
      </c>
      <c r="H14" s="10" t="str">
        <f t="shared" si="2"/>
        <v>No action required</v>
      </c>
    </row>
    <row r="15" spans="1:8" x14ac:dyDescent="0.35">
      <c r="A15" s="4" t="str">
        <f>'Raw Data'!A9</f>
        <v>NorCal Stamping</v>
      </c>
      <c r="B15" s="5" t="str">
        <f>'Raw Data'!B9</f>
        <v>SUP-008</v>
      </c>
      <c r="C15" s="6">
        <f>'Raw Data'!D9/'Raw Data'!C9*100</f>
        <v>93.75</v>
      </c>
      <c r="D15" s="7">
        <f>IFERROR(('Raw Data'!E9-'Raw Data'!F9)/'Raw Data'!E9*100, "N/A")</f>
        <v>99.701754385964918</v>
      </c>
      <c r="E15" s="8">
        <f>IFERROR('Raw Data'!G9/'Raw Data'!C9*100, "N/A")</f>
        <v>93.75</v>
      </c>
      <c r="F15" s="9">
        <f t="shared" si="0"/>
        <v>96.130701754385967</v>
      </c>
      <c r="G15" s="5" t="str">
        <f t="shared" si="1"/>
        <v>Good Standing</v>
      </c>
      <c r="H15" s="10" t="str">
        <f t="shared" si="2"/>
        <v>No action required</v>
      </c>
    </row>
    <row r="16" spans="1:8" x14ac:dyDescent="0.35">
      <c r="A16" s="4" t="str">
        <f>'Raw Data'!A10</f>
        <v>Kelso Industrial</v>
      </c>
      <c r="B16" s="5" t="str">
        <f>'Raw Data'!B10</f>
        <v>SUP-009</v>
      </c>
      <c r="C16" s="6">
        <f>'Raw Data'!D10/'Raw Data'!C10*100</f>
        <v>75</v>
      </c>
      <c r="D16" s="7">
        <f>IFERROR(('Raw Data'!E10-'Raw Data'!F10)/'Raw Data'!E10*100, "N/A")</f>
        <v>98</v>
      </c>
      <c r="E16" s="8">
        <f>IFERROR('Raw Data'!G10/'Raw Data'!C10*100, "N/A")</f>
        <v>87.5</v>
      </c>
      <c r="F16" s="9">
        <f t="shared" si="0"/>
        <v>86.7</v>
      </c>
      <c r="G16" s="5" t="str">
        <f t="shared" si="1"/>
        <v>Needs improvement</v>
      </c>
      <c r="H16" s="10" t="str">
        <f t="shared" si="2"/>
        <v xml:space="preserve">Schedule review call </v>
      </c>
    </row>
    <row r="17" spans="1:8" x14ac:dyDescent="0.35">
      <c r="A17" s="11" t="str">
        <f>'Raw Data'!A11</f>
        <v>Brightline Logistics</v>
      </c>
      <c r="B17" s="12" t="str">
        <f>'Raw Data'!B11</f>
        <v>SUP-010</v>
      </c>
      <c r="C17" s="13">
        <f>'Raw Data'!D11/'Raw Data'!C11*100</f>
        <v>90</v>
      </c>
      <c r="D17" s="14" t="str">
        <f>IFERROR(('Raw Data'!E11-'Raw Data'!F11)/'Raw Data'!E11*100, "N/A")</f>
        <v>N/A</v>
      </c>
      <c r="E17" s="15">
        <f>IFERROR('Raw Data'!G11/'Raw Data'!C11*100, "N/A")</f>
        <v>96.666666666666671</v>
      </c>
      <c r="F17" s="16">
        <f>IFERROR(C17*0.6+E17*0.4,"N/A")</f>
        <v>92.666666666666671</v>
      </c>
      <c r="G17" s="12" t="str">
        <f t="shared" si="1"/>
        <v>Good Standing</v>
      </c>
      <c r="H17" s="17" t="str">
        <f t="shared" si="2"/>
        <v>No action required</v>
      </c>
    </row>
  </sheetData>
  <mergeCells count="1">
    <mergeCell ref="A1:H1"/>
  </mergeCells>
  <conditionalFormatting sqref="G8:G17">
    <cfRule type="cellIs" dxfId="5" priority="4" operator="equal">
      <formula>"At Risk"</formula>
    </cfRule>
    <cfRule type="cellIs" dxfId="4" priority="5" operator="equal">
      <formula>"Needs improvement"</formula>
    </cfRule>
    <cfRule type="cellIs" dxfId="3" priority="6" operator="equal">
      <formula>"Good Standing"</formula>
    </cfRule>
  </conditionalFormatting>
  <conditionalFormatting sqref="F8:F17">
    <cfRule type="cellIs" dxfId="2" priority="1" operator="lessThan">
      <formula>75</formula>
    </cfRule>
    <cfRule type="cellIs" dxfId="1" priority="2" operator="between">
      <formula>75</formula>
      <formula>89.99</formula>
    </cfRule>
    <cfRule type="cellIs" dxfId="0" priority="3" operator="greaterThanOrEqual">
      <formula>90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Charts</vt:lpstr>
      </vt:variant>
      <vt:variant>
        <vt:i4>1</vt:i4>
      </vt:variant>
    </vt:vector>
  </HeadingPairs>
  <TitlesOfParts>
    <vt:vector size="3" baseType="lpstr">
      <vt:lpstr>Raw Data</vt:lpstr>
      <vt:lpstr>Scorecard</vt:lpstr>
      <vt:lpstr>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Briggit Berastegui</dc:creator>
  <cp:lastModifiedBy>Briggit Berastegui</cp:lastModifiedBy>
  <dcterms:created xsi:type="dcterms:W3CDTF">2026-04-23T17:21:07Z</dcterms:created>
  <dcterms:modified xsi:type="dcterms:W3CDTF">2026-04-27T22:12:43Z</dcterms:modified>
</cp:coreProperties>
</file>